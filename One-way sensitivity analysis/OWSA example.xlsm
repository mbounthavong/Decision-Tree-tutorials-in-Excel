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bounthavong\Dropbox\Marks blog\Decision Tree - OWSA\owsamodel\"/>
    </mc:Choice>
  </mc:AlternateContent>
  <xr:revisionPtr revIDLastSave="0" documentId="13_ncr:1_{7B5B8B00-BDC0-4D5D-B2EE-549DED351242}" xr6:coauthVersionLast="47" xr6:coauthVersionMax="47" xr10:uidLastSave="{00000000-0000-0000-0000-000000000000}"/>
  <bookViews>
    <workbookView xWindow="15810" yWindow="1260" windowWidth="33405" windowHeight="18840" xr2:uid="{C0937334-C2EF-4374-9D86-526408E60D77}"/>
  </bookViews>
  <sheets>
    <sheet name="OWSA model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9" i="1" l="1"/>
  <c r="AR8" i="1"/>
  <c r="AR11" i="1"/>
  <c r="AR13" i="1"/>
  <c r="AQ9" i="1"/>
  <c r="AQ8" i="1"/>
  <c r="AQ11" i="1"/>
  <c r="AQ13" i="1"/>
  <c r="AQ12" i="1"/>
  <c r="P24" i="1"/>
  <c r="R24" i="1" s="1"/>
  <c r="P23" i="1"/>
  <c r="R23" i="1" s="1"/>
  <c r="P22" i="1"/>
  <c r="R22" i="1" s="1"/>
  <c r="P21" i="1"/>
  <c r="R21" i="1" s="1"/>
  <c r="AV9" i="1"/>
  <c r="AV10" i="1"/>
  <c r="AV8" i="1"/>
  <c r="AV11" i="1"/>
  <c r="AV13" i="1"/>
  <c r="AV14" i="1"/>
  <c r="AV15" i="1"/>
  <c r="AV12" i="1"/>
  <c r="AR15" i="1"/>
  <c r="AR14" i="1"/>
  <c r="AR10" i="1"/>
  <c r="AR12" i="1"/>
  <c r="AQ15" i="1"/>
  <c r="AQ14" i="1"/>
  <c r="AQ10" i="1"/>
  <c r="AO15" i="1"/>
  <c r="AO14" i="1"/>
  <c r="AO13" i="1"/>
  <c r="AO11" i="1"/>
  <c r="AO8" i="1"/>
  <c r="AO10" i="1"/>
  <c r="AO9" i="1"/>
  <c r="AO12" i="1"/>
  <c r="AN15" i="1"/>
  <c r="AN14" i="1"/>
  <c r="AN13" i="1"/>
  <c r="AN11" i="1"/>
  <c r="AN8" i="1"/>
  <c r="AN10" i="1"/>
  <c r="AN9" i="1"/>
  <c r="AN12" i="1"/>
  <c r="P29" i="1"/>
  <c r="R29" i="1" s="1"/>
  <c r="P28" i="1"/>
  <c r="R28" i="1" s="1"/>
  <c r="P27" i="1"/>
  <c r="R27" i="1" s="1"/>
  <c r="P26" i="1"/>
  <c r="R26" i="1" s="1"/>
  <c r="AC7" i="1" l="1"/>
  <c r="AC8" i="1"/>
  <c r="AA7" i="1"/>
  <c r="AA8" i="1"/>
  <c r="AG7" i="1" l="1"/>
  <c r="AE7" i="1"/>
  <c r="AI7" i="1" l="1"/>
  <c r="AS10" i="1" s="1"/>
  <c r="AS9" i="1" l="1"/>
  <c r="AS12" i="1"/>
  <c r="AS15" i="1"/>
  <c r="AS13" i="1"/>
  <c r="AS8" i="1"/>
  <c r="AS14" i="1"/>
  <c r="AS11" i="1"/>
</calcChain>
</file>

<file path=xl/sharedStrings.xml><?xml version="1.0" encoding="utf-8"?>
<sst xmlns="http://schemas.openxmlformats.org/spreadsheetml/2006/main" count="48" uniqueCount="44">
  <si>
    <t>Example Decision Tree model</t>
  </si>
  <si>
    <t>Parameters Table</t>
  </si>
  <si>
    <t>Base-case value</t>
  </si>
  <si>
    <t>LL</t>
  </si>
  <si>
    <t>UL</t>
  </si>
  <si>
    <t>Prob Response - Drug A</t>
  </si>
  <si>
    <t>Prob Cure - Drug A</t>
  </si>
  <si>
    <t>Prob Response - Drug B</t>
  </si>
  <si>
    <t>Prob Cure - Drug B</t>
  </si>
  <si>
    <t>Drug A &gt; Response &gt; Cured</t>
  </si>
  <si>
    <t>Probabilities</t>
  </si>
  <si>
    <t>Costs</t>
  </si>
  <si>
    <t>Drug A costs</t>
  </si>
  <si>
    <t>Cost of non-response</t>
  </si>
  <si>
    <t>Drug B costs</t>
  </si>
  <si>
    <t>Drug A &gt; Response &gt; Not cured</t>
  </si>
  <si>
    <t>Drug A &gt; Non-response &gt; Cured</t>
  </si>
  <si>
    <t>Drug A &gt; Non-response &gt; Not cured</t>
  </si>
  <si>
    <t>Drug B &gt; Response &gt; Cured</t>
  </si>
  <si>
    <t>Drug B &gt; Response &gt; Not cured</t>
  </si>
  <si>
    <t>Drug B &gt; Non-response &gt; Cured</t>
  </si>
  <si>
    <t>Drug B &gt; Non-response &gt; Not cured</t>
  </si>
  <si>
    <t>Pathway</t>
  </si>
  <si>
    <t>Expected costs</t>
  </si>
  <si>
    <t>Cost of not cured</t>
  </si>
  <si>
    <t>Strategy</t>
  </si>
  <si>
    <t>Drug A</t>
  </si>
  <si>
    <t>Drug B</t>
  </si>
  <si>
    <t>Total costs</t>
  </si>
  <si>
    <t>Total Cured</t>
  </si>
  <si>
    <t>Incr Costs</t>
  </si>
  <si>
    <t>Incr Cured</t>
  </si>
  <si>
    <t>ICER</t>
  </si>
  <si>
    <t xml:space="preserve"> ---</t>
  </si>
  <si>
    <t>One-way sensitivity analysis</t>
  </si>
  <si>
    <t>Number</t>
  </si>
  <si>
    <t>Parameter</t>
  </si>
  <si>
    <t>Value</t>
  </si>
  <si>
    <t>Base_ICER</t>
  </si>
  <si>
    <t>LL_ICER</t>
  </si>
  <si>
    <t>UL_ICER</t>
  </si>
  <si>
    <t>Base-case</t>
  </si>
  <si>
    <t>Spread</t>
  </si>
  <si>
    <t>Expected probabilities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</si>
</sst>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&quot;$&quot;#,##0"/>
    <numFmt numFmtId="166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Arial Nova"/>
      <family val="2"/>
    </font>
    <font>
      <b/>
      <sz val="11"/>
      <color rgb="FFFFFF00"/>
      <name val="Arial Nova"/>
      <family val="2"/>
    </font>
    <font>
      <b/>
      <sz val="20"/>
      <color rgb="FFFFFF00"/>
      <name val="Arial Nova"/>
      <family val="2"/>
    </font>
    <font>
      <b/>
      <u/>
      <sz val="11"/>
      <color rgb="FFFFFF00"/>
      <name val="Arial Nova"/>
      <family val="2"/>
    </font>
    <font>
      <sz val="11"/>
      <color rgb="FFFFFF00"/>
      <name val="Arial Nov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9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FFFF00"/>
      </left>
      <right/>
      <top style="thin">
        <color rgb="FFFFFF00"/>
      </top>
      <bottom/>
      <diagonal/>
    </border>
    <border>
      <left/>
      <right/>
      <top style="thin">
        <color rgb="FFFFFF00"/>
      </top>
      <bottom/>
      <diagonal/>
    </border>
    <border>
      <left/>
      <right style="thin">
        <color rgb="FFFFFF00"/>
      </right>
      <top style="thin">
        <color rgb="FFFFFF00"/>
      </top>
      <bottom/>
      <diagonal/>
    </border>
    <border>
      <left style="thin">
        <color rgb="FFFFFF00"/>
      </left>
      <right/>
      <top/>
      <bottom/>
      <diagonal/>
    </border>
    <border>
      <left/>
      <right style="thin">
        <color rgb="FFFFFF00"/>
      </right>
      <top/>
      <bottom/>
      <diagonal/>
    </border>
    <border>
      <left style="thin">
        <color rgb="FFFFFF00"/>
      </left>
      <right/>
      <top/>
      <bottom style="thin">
        <color rgb="FFFFFF00"/>
      </bottom>
      <diagonal/>
    </border>
    <border>
      <left/>
      <right/>
      <top/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/>
      <bottom style="thin">
        <color theme="1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66" fontId="1" fillId="3" borderId="0" xfId="0" applyNumberFormat="1" applyFont="1" applyFill="1" applyAlignment="1">
      <alignment horizontal="center" vertical="center"/>
    </xf>
    <xf numFmtId="166" fontId="1" fillId="4" borderId="0" xfId="0" applyNumberFormat="1" applyFont="1" applyFill="1" applyAlignment="1">
      <alignment horizontal="center" vertical="center"/>
    </xf>
    <xf numFmtId="166" fontId="1" fillId="4" borderId="0" xfId="0" applyNumberFormat="1" applyFont="1" applyFill="1" applyAlignment="1">
      <alignment vertical="center"/>
    </xf>
    <xf numFmtId="164" fontId="1" fillId="2" borderId="0" xfId="0" applyNumberFormat="1" applyFont="1" applyFill="1" applyAlignment="1">
      <alignment vertical="center"/>
    </xf>
    <xf numFmtId="165" fontId="1" fillId="2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left" vertical="center" indent="2"/>
    </xf>
    <xf numFmtId="164" fontId="1" fillId="3" borderId="0" xfId="0" applyNumberFormat="1" applyFont="1" applyFill="1" applyAlignment="1">
      <alignment horizontal="center" vertical="center"/>
    </xf>
    <xf numFmtId="0" fontId="5" fillId="3" borderId="2" xfId="0" applyFont="1" applyFill="1" applyBorder="1" applyAlignment="1">
      <alignment horizontal="right" vertical="center"/>
    </xf>
    <xf numFmtId="0" fontId="5" fillId="3" borderId="3" xfId="0" applyFont="1" applyFill="1" applyBorder="1" applyAlignment="1">
      <alignment horizontal="left" vertical="center" indent="2"/>
    </xf>
    <xf numFmtId="0" fontId="1" fillId="3" borderId="5" xfId="0" applyFont="1" applyFill="1" applyBorder="1" applyAlignment="1">
      <alignment horizontal="right" vertical="center"/>
    </xf>
    <xf numFmtId="0" fontId="1" fillId="3" borderId="7" xfId="0" applyFont="1" applyFill="1" applyBorder="1" applyAlignment="1">
      <alignment horizontal="right" vertical="center"/>
    </xf>
    <xf numFmtId="0" fontId="5" fillId="3" borderId="8" xfId="0" applyFont="1" applyFill="1" applyBorder="1" applyAlignment="1">
      <alignment horizontal="left" vertical="center" indent="2"/>
    </xf>
    <xf numFmtId="165" fontId="1" fillId="4" borderId="0" xfId="0" applyNumberFormat="1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1" fillId="2" borderId="0" xfId="0" applyNumberFormat="1" applyFont="1" applyFill="1" applyAlignment="1">
      <alignment vertical="center"/>
    </xf>
    <xf numFmtId="1" fontId="1" fillId="4" borderId="0" xfId="0" applyNumberFormat="1" applyFont="1" applyFill="1" applyAlignment="1">
      <alignment horizontal="center" vertical="center"/>
    </xf>
    <xf numFmtId="0" fontId="5" fillId="3" borderId="5" xfId="0" applyFont="1" applyFill="1" applyBorder="1" applyAlignment="1">
      <alignment horizontal="right" vertical="center"/>
    </xf>
    <xf numFmtId="0" fontId="1" fillId="3" borderId="6" xfId="0" applyFont="1" applyFill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2" fillId="3" borderId="4" xfId="0" applyFont="1" applyFill="1" applyBorder="1" applyAlignment="1">
      <alignment vertical="center"/>
    </xf>
    <xf numFmtId="0" fontId="2" fillId="3" borderId="6" xfId="0" applyFont="1" applyFill="1" applyBorder="1" applyAlignment="1">
      <alignment vertical="center"/>
    </xf>
    <xf numFmtId="0" fontId="2" fillId="3" borderId="9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1" fillId="2" borderId="1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ICER (A v B)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'OWSA model'!$AG$7</c:f>
              <c:numCache>
                <c:formatCode>General</c:formatCode>
                <c:ptCount val="1"/>
                <c:pt idx="0">
                  <c:v>2.0000000000000018E-2</c:v>
                </c:pt>
              </c:numCache>
            </c:numRef>
          </c:xVal>
          <c:yVal>
            <c:numRef>
              <c:f>'OWSA model'!$AE$7</c:f>
              <c:numCache>
                <c:formatCode>"$"#,##0.00</c:formatCode>
                <c:ptCount val="1"/>
                <c:pt idx="0">
                  <c:v>117.5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81-4642-BA7F-AFC19B5AF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0912264"/>
        <c:axId val="1070912624"/>
      </c:scatterChart>
      <c:valAx>
        <c:axId val="1070912264"/>
        <c:scaling>
          <c:orientation val="minMax"/>
          <c:min val="-4.0000000000000008E-2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70912624"/>
        <c:crosses val="autoZero"/>
        <c:crossBetween val="midCat"/>
      </c:valAx>
      <c:valAx>
        <c:axId val="1070912624"/>
        <c:scaling>
          <c:orientation val="minMax"/>
          <c:min val="-135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070912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9616816450308459"/>
          <c:y val="0.13302417686326393"/>
          <c:w val="0.63719390946808641"/>
          <c:h val="0.84758413901824781"/>
        </c:manualLayout>
      </c:layout>
      <c:barChart>
        <c:barDir val="bar"/>
        <c:grouping val="clustered"/>
        <c:varyColors val="0"/>
        <c:ser>
          <c:idx val="0"/>
          <c:order val="0"/>
          <c:tx>
            <c:v>High</c:v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strRef>
              <c:f>'OWSA model'!$AN$8:$AN$15</c:f>
              <c:strCache>
                <c:ptCount val="8"/>
                <c:pt idx="0">
                  <c:v>Prob Response - Drug A</c:v>
                </c:pt>
                <c:pt idx="1">
                  <c:v>Prob Cure - Drug A</c:v>
                </c:pt>
                <c:pt idx="2">
                  <c:v>Prob Response - Drug B</c:v>
                </c:pt>
                <c:pt idx="3">
                  <c:v>Prob Cure - Drug B</c:v>
                </c:pt>
                <c:pt idx="4">
                  <c:v>Drug A costs</c:v>
                </c:pt>
                <c:pt idx="5">
                  <c:v>Drug B costs</c:v>
                </c:pt>
                <c:pt idx="6">
                  <c:v>Cost of non-response</c:v>
                </c:pt>
                <c:pt idx="7">
                  <c:v>Cost of not cured</c:v>
                </c:pt>
              </c:strCache>
            </c:strRef>
          </c:cat>
          <c:val>
            <c:numRef>
              <c:f>'OWSA model'!$AU$8:$AU$15</c:f>
              <c:numCache>
                <c:formatCode>0</c:formatCode>
                <c:ptCount val="8"/>
                <c:pt idx="0">
                  <c:v>12124.999999999989</c:v>
                </c:pt>
                <c:pt idx="1">
                  <c:v>2749.9999999999977</c:v>
                </c:pt>
                <c:pt idx="2">
                  <c:v>8374.9999999999945</c:v>
                </c:pt>
                <c:pt idx="3">
                  <c:v>8374.9999999999927</c:v>
                </c:pt>
                <c:pt idx="4">
                  <c:v>4312.4999999999964</c:v>
                </c:pt>
                <c:pt idx="5">
                  <c:v>4312.4999999999964</c:v>
                </c:pt>
                <c:pt idx="6">
                  <c:v>5562.4999999999955</c:v>
                </c:pt>
                <c:pt idx="7">
                  <c:v>5837.4999999999945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C6-41E6-B12B-9AAE15097A77}"/>
            </c:ext>
          </c:extLst>
        </c:ser>
        <c:ser>
          <c:idx val="1"/>
          <c:order val="1"/>
          <c:tx>
            <c:v>Low</c:v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  <a:effectLst/>
          </c:spPr>
          <c:invertIfNegative val="0"/>
          <c:cat>
            <c:strRef>
              <c:f>'OWSA model'!$AN$8:$AN$15</c:f>
              <c:strCache>
                <c:ptCount val="8"/>
                <c:pt idx="0">
                  <c:v>Prob Response - Drug A</c:v>
                </c:pt>
                <c:pt idx="1">
                  <c:v>Prob Cure - Drug A</c:v>
                </c:pt>
                <c:pt idx="2">
                  <c:v>Prob Response - Drug B</c:v>
                </c:pt>
                <c:pt idx="3">
                  <c:v>Prob Cure - Drug B</c:v>
                </c:pt>
                <c:pt idx="4">
                  <c:v>Drug A costs</c:v>
                </c:pt>
                <c:pt idx="5">
                  <c:v>Drug B costs</c:v>
                </c:pt>
                <c:pt idx="6">
                  <c:v>Cost of non-response</c:v>
                </c:pt>
                <c:pt idx="7">
                  <c:v>Cost of not cured</c:v>
                </c:pt>
              </c:strCache>
            </c:strRef>
          </c:cat>
          <c:val>
            <c:numRef>
              <c:f>'OWSA model'!$AT$8:$AT$15</c:f>
              <c:numCache>
                <c:formatCode>0</c:formatCode>
                <c:ptCount val="8"/>
                <c:pt idx="0">
                  <c:v>2124.9999999999982</c:v>
                </c:pt>
                <c:pt idx="1">
                  <c:v>12124.999999999989</c:v>
                </c:pt>
                <c:pt idx="2">
                  <c:v>3374.9999999999968</c:v>
                </c:pt>
                <c:pt idx="3">
                  <c:v>3374.9999999999968</c:v>
                </c:pt>
                <c:pt idx="4">
                  <c:v>8999.9999999999927</c:v>
                </c:pt>
                <c:pt idx="5">
                  <c:v>7437.4999999999936</c:v>
                </c:pt>
                <c:pt idx="6">
                  <c:v>6187.4999999999945</c:v>
                </c:pt>
                <c:pt idx="7">
                  <c:v>5912.5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C6-41E6-B12B-9AAE1509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225314408"/>
        <c:axId val="1225316928"/>
      </c:barChart>
      <c:catAx>
        <c:axId val="122531440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225316928"/>
        <c:crossesAt val="5875"/>
        <c:auto val="1"/>
        <c:lblAlgn val="ctr"/>
        <c:lblOffset val="100"/>
        <c:noMultiLvlLbl val="0"/>
      </c:catAx>
      <c:valAx>
        <c:axId val="122531692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 Nova" panose="020B0504020202020204" pitchFamily="34" charset="0"/>
                    <a:ea typeface="+mn-ea"/>
                    <a:cs typeface="+mn-cs"/>
                  </a:defRPr>
                </a:pPr>
                <a:r>
                  <a:rPr lang="en-US" sz="2800"/>
                  <a:t>ICER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 Nova" panose="020B05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ova" panose="020B0504020202020204" pitchFamily="34" charset="0"/>
                <a:ea typeface="+mn-ea"/>
                <a:cs typeface="+mn-cs"/>
              </a:defRPr>
            </a:pPr>
            <a:endParaRPr lang="en-US"/>
          </a:p>
        </c:txPr>
        <c:crossAx val="122531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7266162774264"/>
          <c:y val="0.86886377085109223"/>
          <c:w val="8.6704241307417829E-2"/>
          <c:h val="8.02488132136629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 Nova" panose="020B05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99390</xdr:colOff>
      <xdr:row>3</xdr:row>
      <xdr:rowOff>128688</xdr:rowOff>
    </xdr:from>
    <xdr:to>
      <xdr:col>10</xdr:col>
      <xdr:colOff>482000</xdr:colOff>
      <xdr:row>22</xdr:row>
      <xdr:rowOff>74543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3A8623-BD62-2695-2217-B96D472443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586" y="940384"/>
          <a:ext cx="5526110" cy="34079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22</xdr:col>
      <xdr:colOff>134727</xdr:colOff>
      <xdr:row>10</xdr:row>
      <xdr:rowOff>7113</xdr:rowOff>
    </xdr:from>
    <xdr:to>
      <xdr:col>35</xdr:col>
      <xdr:colOff>101434</xdr:colOff>
      <xdr:row>30</xdr:row>
      <xdr:rowOff>120733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7381DB-56F9-68C0-D886-BB5649E3CF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171945</xdr:colOff>
      <xdr:row>18</xdr:row>
      <xdr:rowOff>104775</xdr:rowOff>
    </xdr:from>
    <xdr:to>
      <xdr:col>39</xdr:col>
      <xdr:colOff>924340</xdr:colOff>
      <xdr:row>34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B916F8AD-D8BE-4B28-ACAD-A336F5887133}"/>
            </a:ext>
          </a:extLst>
        </xdr:cNvPr>
        <xdr:cNvSpPr txBox="1"/>
      </xdr:nvSpPr>
      <xdr:spPr>
        <a:xfrm>
          <a:off x="21241245" y="3629025"/>
          <a:ext cx="1752520" cy="280987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2700" cmpd="sng">
          <a:solidFill>
            <a:schemeClr val="accent1">
              <a:lumMod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>
              <a:latin typeface="Arial Nova" panose="020B0504020202020204" pitchFamily="34" charset="0"/>
            </a:rPr>
            <a:t>Instructions:</a:t>
          </a:r>
        </a:p>
        <a:p>
          <a:r>
            <a:rPr lang="en-US" sz="1100">
              <a:latin typeface="Arial Nova" panose="020B0504020202020204" pitchFamily="34" charset="0"/>
            </a:rPr>
            <a:t>To perform the one-way</a:t>
          </a:r>
          <a:r>
            <a:rPr lang="en-US" sz="1100" baseline="0">
              <a:latin typeface="Arial Nova" panose="020B0504020202020204" pitchFamily="34" charset="0"/>
            </a:rPr>
            <a:t> sensitivity analysis on body weight loss, you will need to press the buttons on the right in the following order:</a:t>
          </a:r>
        </a:p>
        <a:p>
          <a:endParaRPr lang="en-US" sz="1100" baseline="0">
            <a:latin typeface="Arial Nova" panose="020B0504020202020204" pitchFamily="34" charset="0"/>
          </a:endParaRPr>
        </a:p>
        <a:p>
          <a:r>
            <a:rPr lang="en-US" sz="1100" baseline="0">
              <a:latin typeface="Arial Nova" panose="020B0504020202020204" pitchFamily="34" charset="0"/>
            </a:rPr>
            <a:t>Step 1</a:t>
          </a:r>
        </a:p>
        <a:p>
          <a:endParaRPr lang="en-US" sz="1100" baseline="0">
            <a:latin typeface="Arial Nova" panose="020B0504020202020204" pitchFamily="34" charset="0"/>
          </a:endParaRPr>
        </a:p>
        <a:p>
          <a:r>
            <a:rPr lang="en-US" sz="1100" baseline="0">
              <a:latin typeface="Arial Nova" panose="020B0504020202020204" pitchFamily="34" charset="0"/>
            </a:rPr>
            <a:t>Step 2</a:t>
          </a:r>
        </a:p>
        <a:p>
          <a:endParaRPr lang="en-US" sz="1100" baseline="0">
            <a:latin typeface="Arial Nova" panose="020B0504020202020204" pitchFamily="34" charset="0"/>
          </a:endParaRPr>
        </a:p>
        <a:p>
          <a:r>
            <a:rPr lang="en-US" sz="1100" baseline="0">
              <a:latin typeface="Arial Nova" panose="020B0504020202020204" pitchFamily="34" charset="0"/>
            </a:rPr>
            <a:t>Step 3</a:t>
          </a:r>
          <a:endParaRPr lang="en-US" sz="1100">
            <a:latin typeface="Arial Nova" panose="020B0504020202020204" pitchFamily="34" charset="0"/>
          </a:endParaRPr>
        </a:p>
      </xdr:txBody>
    </xdr:sp>
    <xdr:clientData/>
  </xdr:twoCellAnchor>
  <xdr:twoCellAnchor>
    <xdr:from>
      <xdr:col>42</xdr:col>
      <xdr:colOff>268432</xdr:colOff>
      <xdr:row>17</xdr:row>
      <xdr:rowOff>135081</xdr:rowOff>
    </xdr:from>
    <xdr:to>
      <xdr:col>51</xdr:col>
      <xdr:colOff>86591</xdr:colOff>
      <xdr:row>58</xdr:row>
      <xdr:rowOff>86592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291F26F-372F-31B2-9252-F429335C0D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1143000</xdr:colOff>
      <xdr:row>18</xdr:row>
      <xdr:rowOff>121227</xdr:rowOff>
    </xdr:from>
    <xdr:to>
      <xdr:col>41</xdr:col>
      <xdr:colOff>346364</xdr:colOff>
      <xdr:row>23</xdr:row>
      <xdr:rowOff>34636</xdr:rowOff>
    </xdr:to>
    <xdr:sp macro="[0]!oneway_ord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668E740-8D85-93A3-D58F-2EB7CDE2426C}"/>
            </a:ext>
          </a:extLst>
        </xdr:cNvPr>
        <xdr:cNvSpPr/>
      </xdr:nvSpPr>
      <xdr:spPr>
        <a:xfrm>
          <a:off x="22929273" y="3515591"/>
          <a:ext cx="2078182" cy="779318"/>
        </a:xfrm>
        <a:prstGeom prst="roundRect">
          <a:avLst>
            <a:gd name="adj" fmla="val 7778"/>
          </a:avLst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Step</a:t>
          </a:r>
          <a:r>
            <a:rPr lang="en-US" sz="1100" baseline="0"/>
            <a:t> 1: Order the parameters</a:t>
          </a:r>
          <a:endParaRPr lang="en-US" sz="1100"/>
        </a:p>
      </xdr:txBody>
    </xdr:sp>
    <xdr:clientData/>
  </xdr:twoCellAnchor>
  <xdr:twoCellAnchor>
    <xdr:from>
      <xdr:col>39</xdr:col>
      <xdr:colOff>1139537</xdr:colOff>
      <xdr:row>24</xdr:row>
      <xdr:rowOff>13854</xdr:rowOff>
    </xdr:from>
    <xdr:to>
      <xdr:col>41</xdr:col>
      <xdr:colOff>342901</xdr:colOff>
      <xdr:row>28</xdr:row>
      <xdr:rowOff>100445</xdr:rowOff>
    </xdr:to>
    <xdr:sp macro="[0]!oneway_macro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B8A646F-4530-4AB7-9506-D6BA12511ACA}"/>
            </a:ext>
          </a:extLst>
        </xdr:cNvPr>
        <xdr:cNvSpPr/>
      </xdr:nvSpPr>
      <xdr:spPr>
        <a:xfrm>
          <a:off x="22925810" y="4447309"/>
          <a:ext cx="2078182" cy="779318"/>
        </a:xfrm>
        <a:prstGeom prst="roundRect">
          <a:avLst>
            <a:gd name="adj" fmla="val 7778"/>
          </a:avLst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Step 2: Run</a:t>
          </a:r>
          <a:r>
            <a:rPr lang="en-US" sz="1100" baseline="0"/>
            <a:t> the one-way sensitivity analysis</a:t>
          </a:r>
          <a:endParaRPr lang="en-US" sz="1100"/>
        </a:p>
      </xdr:txBody>
    </xdr:sp>
    <xdr:clientData/>
  </xdr:twoCellAnchor>
  <xdr:twoCellAnchor>
    <xdr:from>
      <xdr:col>39</xdr:col>
      <xdr:colOff>1153392</xdr:colOff>
      <xdr:row>29</xdr:row>
      <xdr:rowOff>79663</xdr:rowOff>
    </xdr:from>
    <xdr:to>
      <xdr:col>41</xdr:col>
      <xdr:colOff>356756</xdr:colOff>
      <xdr:row>33</xdr:row>
      <xdr:rowOff>166254</xdr:rowOff>
    </xdr:to>
    <xdr:sp macro="[0]!oneway_reord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8C2CA10-5324-48AC-ADE9-1E9E05AC23E4}"/>
            </a:ext>
          </a:extLst>
        </xdr:cNvPr>
        <xdr:cNvSpPr/>
      </xdr:nvSpPr>
      <xdr:spPr>
        <a:xfrm>
          <a:off x="22939665" y="5379027"/>
          <a:ext cx="2078182" cy="779318"/>
        </a:xfrm>
        <a:prstGeom prst="roundRect">
          <a:avLst>
            <a:gd name="adj" fmla="val 7778"/>
          </a:avLst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Step 3: Re-order the Spread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B9B61-9301-4C54-A790-EABF0EAF6020}">
  <sheetPr codeName="Sheet1"/>
  <dimension ref="C1:AV30"/>
  <sheetViews>
    <sheetView tabSelected="1" topLeftCell="K1" zoomScale="70" zoomScaleNormal="70" workbookViewId="0">
      <selection activeCell="BA52" sqref="BA52"/>
    </sheetView>
  </sheetViews>
  <sheetFormatPr defaultRowHeight="14.25" x14ac:dyDescent="0.25"/>
  <cols>
    <col min="1" max="2" width="3.5703125" style="3" customWidth="1"/>
    <col min="3" max="11" width="9.140625" style="3"/>
    <col min="12" max="12" width="2.140625" style="3" customWidth="1"/>
    <col min="13" max="13" width="22.85546875" style="21" customWidth="1"/>
    <col min="14" max="14" width="35.5703125" style="3" bestFit="1" customWidth="1"/>
    <col min="15" max="15" width="2" style="3" customWidth="1"/>
    <col min="16" max="16" width="24.28515625" style="6" bestFit="1" customWidth="1"/>
    <col min="17" max="17" width="1.7109375" style="6" customWidth="1"/>
    <col min="18" max="18" width="15.42578125" style="6" bestFit="1" customWidth="1"/>
    <col min="19" max="19" width="2.140625" style="6" customWidth="1"/>
    <col min="20" max="20" width="11.42578125" style="6" customWidth="1"/>
    <col min="21" max="21" width="3.140625" style="3" customWidth="1"/>
    <col min="22" max="22" width="9.140625" style="3"/>
    <col min="23" max="23" width="2.42578125" style="3" customWidth="1"/>
    <col min="24" max="24" width="2.5703125" style="3" customWidth="1"/>
    <col min="25" max="25" width="9.140625" style="3"/>
    <col min="26" max="26" width="1.85546875" style="3" customWidth="1"/>
    <col min="27" max="27" width="13" style="3" customWidth="1"/>
    <col min="28" max="28" width="1.140625" style="3" customWidth="1"/>
    <col min="29" max="29" width="14.28515625" style="3" customWidth="1"/>
    <col min="30" max="30" width="1.42578125" style="3" customWidth="1"/>
    <col min="31" max="31" width="13" style="3" customWidth="1"/>
    <col min="32" max="32" width="1.140625" style="3" customWidth="1"/>
    <col min="33" max="33" width="12" style="3" customWidth="1"/>
    <col min="34" max="34" width="2.140625" style="3" customWidth="1"/>
    <col min="35" max="35" width="12.28515625" style="3" customWidth="1"/>
    <col min="36" max="36" width="2.140625" style="3" customWidth="1"/>
    <col min="37" max="37" width="9.140625" style="3"/>
    <col min="38" max="38" width="2.7109375" style="3" customWidth="1"/>
    <col min="39" max="39" width="15" style="3" customWidth="1"/>
    <col min="40" max="40" width="28" style="3" customWidth="1"/>
    <col min="41" max="47" width="15" style="3" customWidth="1"/>
    <col min="48" max="16384" width="9.140625" style="3"/>
  </cols>
  <sheetData>
    <row r="1" spans="3:48" s="1" customFormat="1" x14ac:dyDescent="0.25">
      <c r="M1" s="20"/>
      <c r="P1" s="5"/>
      <c r="Q1" s="5"/>
      <c r="R1" s="5"/>
      <c r="S1" s="5"/>
      <c r="T1" s="5"/>
    </row>
    <row r="2" spans="3:48" s="1" customFormat="1" ht="35.25" customHeight="1" x14ac:dyDescent="0.25">
      <c r="C2" s="4" t="s">
        <v>0</v>
      </c>
      <c r="M2" s="20"/>
      <c r="P2" s="5"/>
      <c r="Q2" s="5"/>
      <c r="R2" s="5"/>
      <c r="S2" s="5"/>
      <c r="T2" s="5"/>
    </row>
    <row r="3" spans="3:48" s="1" customFormat="1" x14ac:dyDescent="0.25">
      <c r="M3" s="20"/>
      <c r="P3" s="5"/>
      <c r="Q3" s="5"/>
      <c r="R3" s="5"/>
      <c r="S3" s="5"/>
      <c r="T3" s="5"/>
    </row>
    <row r="5" spans="3:48" x14ac:dyDescent="0.25">
      <c r="L5" s="1"/>
      <c r="M5" s="20"/>
      <c r="N5" s="1"/>
      <c r="O5" s="1"/>
      <c r="P5" s="5"/>
      <c r="Q5" s="5"/>
      <c r="R5" s="5"/>
      <c r="S5" s="5"/>
      <c r="T5" s="5"/>
      <c r="U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3:48" x14ac:dyDescent="0.25">
      <c r="L6" s="1"/>
      <c r="M6" s="20"/>
      <c r="N6" s="10" t="s">
        <v>1</v>
      </c>
      <c r="O6" s="10"/>
      <c r="P6" s="11"/>
      <c r="Q6" s="11"/>
      <c r="R6" s="11"/>
      <c r="S6" s="11"/>
      <c r="T6" s="11"/>
      <c r="U6" s="1"/>
      <c r="X6" s="1"/>
      <c r="Y6" s="2" t="s">
        <v>25</v>
      </c>
      <c r="Z6" s="1"/>
      <c r="AA6" s="2" t="s">
        <v>28</v>
      </c>
      <c r="AB6" s="2"/>
      <c r="AC6" s="2" t="s">
        <v>29</v>
      </c>
      <c r="AD6" s="2"/>
      <c r="AE6" s="2" t="s">
        <v>30</v>
      </c>
      <c r="AF6" s="2"/>
      <c r="AG6" s="2" t="s">
        <v>31</v>
      </c>
      <c r="AH6" s="2"/>
      <c r="AI6" s="2" t="s">
        <v>32</v>
      </c>
      <c r="AJ6" s="1"/>
      <c r="AM6" s="41" t="s">
        <v>34</v>
      </c>
      <c r="AN6" s="41"/>
      <c r="AO6" s="41"/>
      <c r="AP6" s="41"/>
      <c r="AQ6" s="41"/>
      <c r="AR6" s="41"/>
      <c r="AS6" s="41"/>
      <c r="AT6" s="41"/>
      <c r="AU6" s="41"/>
      <c r="AV6" s="41"/>
    </row>
    <row r="7" spans="3:48" x14ac:dyDescent="0.25">
      <c r="L7" s="1"/>
      <c r="M7" s="20"/>
      <c r="N7" s="13"/>
      <c r="O7" s="2"/>
      <c r="P7" s="7" t="s">
        <v>2</v>
      </c>
      <c r="Q7" s="7"/>
      <c r="R7" s="7" t="s">
        <v>3</v>
      </c>
      <c r="S7" s="7"/>
      <c r="T7" s="7" t="s">
        <v>4</v>
      </c>
      <c r="U7" s="1"/>
      <c r="X7" s="1"/>
      <c r="Y7" s="13" t="s">
        <v>26</v>
      </c>
      <c r="Z7" s="1"/>
      <c r="AA7" s="16">
        <f>SUM(R21:R24)</f>
        <v>645</v>
      </c>
      <c r="AB7" s="1"/>
      <c r="AC7" s="12">
        <f>P21+P23</f>
        <v>0.78</v>
      </c>
      <c r="AD7" s="1"/>
      <c r="AE7" s="16">
        <f>AA7-AA8</f>
        <v>117.5</v>
      </c>
      <c r="AF7" s="1"/>
      <c r="AG7" s="12">
        <f>AC7-AC8</f>
        <v>2.0000000000000018E-2</v>
      </c>
      <c r="AH7" s="1"/>
      <c r="AI7" s="16">
        <f>AE7/AG7</f>
        <v>5874.9999999999945</v>
      </c>
      <c r="AJ7" s="1"/>
      <c r="AM7" s="39" t="s">
        <v>35</v>
      </c>
      <c r="AN7" s="39" t="s">
        <v>36</v>
      </c>
      <c r="AO7" s="39" t="s">
        <v>37</v>
      </c>
      <c r="AP7" s="39" t="s">
        <v>41</v>
      </c>
      <c r="AQ7" s="39" t="s">
        <v>3</v>
      </c>
      <c r="AR7" s="39" t="s">
        <v>4</v>
      </c>
      <c r="AS7" s="39" t="s">
        <v>38</v>
      </c>
      <c r="AT7" s="39" t="s">
        <v>39</v>
      </c>
      <c r="AU7" s="39" t="s">
        <v>40</v>
      </c>
      <c r="AV7" s="40" t="s">
        <v>42</v>
      </c>
    </row>
    <row r="8" spans="3:48" x14ac:dyDescent="0.25">
      <c r="L8" s="1"/>
      <c r="M8" s="24" t="s">
        <v>10</v>
      </c>
      <c r="N8" s="25" t="s">
        <v>5</v>
      </c>
      <c r="O8" s="36"/>
      <c r="P8" s="9">
        <v>0.9</v>
      </c>
      <c r="Q8" s="23"/>
      <c r="R8" s="9">
        <v>0.8</v>
      </c>
      <c r="S8" s="23"/>
      <c r="T8" s="9">
        <v>0.95</v>
      </c>
      <c r="U8" s="1"/>
      <c r="X8" s="1"/>
      <c r="Y8" s="13" t="s">
        <v>27</v>
      </c>
      <c r="Z8" s="1"/>
      <c r="AA8" s="16">
        <f>SUM(R26:R29)</f>
        <v>527.5</v>
      </c>
      <c r="AB8" s="1"/>
      <c r="AC8" s="12">
        <f>P26+P28</f>
        <v>0.76</v>
      </c>
      <c r="AD8" s="1"/>
      <c r="AE8" s="8" t="s">
        <v>33</v>
      </c>
      <c r="AF8" s="5"/>
      <c r="AG8" s="8" t="s">
        <v>33</v>
      </c>
      <c r="AH8" s="5"/>
      <c r="AI8" s="8" t="s">
        <v>33</v>
      </c>
      <c r="AJ8" s="1"/>
      <c r="AM8" s="6">
        <v>4</v>
      </c>
      <c r="AN8" s="3" t="str">
        <f t="shared" ref="AN8:AN15" si="0">N8</f>
        <v>Prob Response - Drug A</v>
      </c>
      <c r="AO8" s="17">
        <f t="shared" ref="AO8:AO15" si="1">P8</f>
        <v>0.9</v>
      </c>
      <c r="AP8" s="17">
        <v>0.76</v>
      </c>
      <c r="AQ8" s="17">
        <f t="shared" ref="AQ8:AQ15" si="2">R8</f>
        <v>0.8</v>
      </c>
      <c r="AR8" s="17">
        <f t="shared" ref="AR8:AR15" si="3">T8</f>
        <v>0.95</v>
      </c>
      <c r="AS8" s="19">
        <f t="shared" ref="AS8:AS15" si="4">$AI$7</f>
        <v>5874.9999999999945</v>
      </c>
      <c r="AT8" s="31">
        <v>2124.9999999999982</v>
      </c>
      <c r="AU8" s="31">
        <v>12124.999999999989</v>
      </c>
      <c r="AV8" s="31">
        <f t="shared" ref="AV8:AV15" si="5">ABS(AU8-AT8)</f>
        <v>9999.9999999999909</v>
      </c>
    </row>
    <row r="9" spans="3:48" x14ac:dyDescent="0.25">
      <c r="L9" s="1"/>
      <c r="M9" s="26"/>
      <c r="N9" s="22" t="s">
        <v>6</v>
      </c>
      <c r="O9" s="37"/>
      <c r="P9" s="9">
        <v>0.78</v>
      </c>
      <c r="Q9" s="23"/>
      <c r="R9" s="9">
        <v>0.77</v>
      </c>
      <c r="S9" s="23"/>
      <c r="T9" s="9">
        <v>0.8</v>
      </c>
      <c r="U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M9" s="6">
        <v>2</v>
      </c>
      <c r="AN9" s="3" t="str">
        <f t="shared" si="0"/>
        <v>Prob Cure - Drug A</v>
      </c>
      <c r="AO9" s="17">
        <f t="shared" si="1"/>
        <v>0.78</v>
      </c>
      <c r="AP9" s="17">
        <v>0.78</v>
      </c>
      <c r="AQ9" s="17">
        <f t="shared" si="2"/>
        <v>0.77</v>
      </c>
      <c r="AR9" s="17">
        <f t="shared" si="3"/>
        <v>0.8</v>
      </c>
      <c r="AS9" s="19">
        <f t="shared" si="4"/>
        <v>5874.9999999999945</v>
      </c>
      <c r="AT9" s="31">
        <v>12124.999999999989</v>
      </c>
      <c r="AU9" s="31">
        <v>2749.9999999999977</v>
      </c>
      <c r="AV9" s="31">
        <f t="shared" si="5"/>
        <v>9374.9999999999909</v>
      </c>
    </row>
    <row r="10" spans="3:48" x14ac:dyDescent="0.25">
      <c r="L10" s="1"/>
      <c r="M10" s="26"/>
      <c r="N10" s="22" t="s">
        <v>7</v>
      </c>
      <c r="O10" s="37"/>
      <c r="P10" s="9">
        <v>0.8</v>
      </c>
      <c r="Q10" s="23"/>
      <c r="R10" s="9">
        <v>0.72</v>
      </c>
      <c r="S10" s="23"/>
      <c r="T10" s="9">
        <v>0.88000000000000012</v>
      </c>
      <c r="U10" s="1"/>
      <c r="AM10" s="6">
        <v>3</v>
      </c>
      <c r="AN10" s="3" t="str">
        <f t="shared" si="0"/>
        <v>Prob Response - Drug B</v>
      </c>
      <c r="AO10" s="17">
        <f t="shared" si="1"/>
        <v>0.8</v>
      </c>
      <c r="AP10" s="17">
        <v>0.8</v>
      </c>
      <c r="AQ10" s="17">
        <f t="shared" si="2"/>
        <v>0.72</v>
      </c>
      <c r="AR10" s="17">
        <f t="shared" si="3"/>
        <v>0.88000000000000012</v>
      </c>
      <c r="AS10" s="19">
        <f t="shared" si="4"/>
        <v>5874.9999999999945</v>
      </c>
      <c r="AT10" s="31">
        <v>3374.9999999999968</v>
      </c>
      <c r="AU10" s="31">
        <v>8374.9999999999945</v>
      </c>
      <c r="AV10" s="31">
        <f t="shared" si="5"/>
        <v>4999.9999999999982</v>
      </c>
    </row>
    <row r="11" spans="3:48" x14ac:dyDescent="0.25">
      <c r="L11" s="1"/>
      <c r="M11" s="27"/>
      <c r="N11" s="28" t="s">
        <v>8</v>
      </c>
      <c r="O11" s="38"/>
      <c r="P11" s="9">
        <v>0.76</v>
      </c>
      <c r="Q11" s="23"/>
      <c r="R11" s="9">
        <v>0.73</v>
      </c>
      <c r="S11" s="23"/>
      <c r="T11" s="9">
        <v>0.77</v>
      </c>
      <c r="U11" s="1"/>
      <c r="AM11" s="6">
        <v>5</v>
      </c>
      <c r="AN11" s="3" t="str">
        <f t="shared" si="0"/>
        <v>Prob Cure - Drug B</v>
      </c>
      <c r="AO11" s="18">
        <f t="shared" si="1"/>
        <v>0.76</v>
      </c>
      <c r="AP11" s="18">
        <v>500</v>
      </c>
      <c r="AQ11" s="17">
        <f t="shared" si="2"/>
        <v>0.73</v>
      </c>
      <c r="AR11" s="17">
        <f t="shared" si="3"/>
        <v>0.77</v>
      </c>
      <c r="AS11" s="19">
        <f t="shared" si="4"/>
        <v>5874.9999999999945</v>
      </c>
      <c r="AT11" s="31">
        <v>3374.9999999999968</v>
      </c>
      <c r="AU11" s="31">
        <v>8374.9999999999927</v>
      </c>
      <c r="AV11" s="31">
        <f t="shared" si="5"/>
        <v>4999.9999999999964</v>
      </c>
    </row>
    <row r="12" spans="3:48" x14ac:dyDescent="0.25">
      <c r="L12" s="1"/>
      <c r="M12" s="33" t="s">
        <v>11</v>
      </c>
      <c r="N12" s="22" t="s">
        <v>12</v>
      </c>
      <c r="O12" s="34"/>
      <c r="P12" s="29">
        <v>500</v>
      </c>
      <c r="Q12" s="5"/>
      <c r="R12" s="32">
        <v>450</v>
      </c>
      <c r="S12" s="30"/>
      <c r="T12" s="32">
        <v>550</v>
      </c>
      <c r="U12" s="1"/>
      <c r="AM12" s="6">
        <v>1</v>
      </c>
      <c r="AN12" s="3" t="str">
        <f t="shared" si="0"/>
        <v>Drug A costs</v>
      </c>
      <c r="AO12" s="17">
        <f t="shared" si="1"/>
        <v>500</v>
      </c>
      <c r="AP12" s="17">
        <v>0.9</v>
      </c>
      <c r="AQ12" s="17">
        <f t="shared" si="2"/>
        <v>450</v>
      </c>
      <c r="AR12" s="17">
        <f t="shared" si="3"/>
        <v>550</v>
      </c>
      <c r="AS12" s="19">
        <f t="shared" si="4"/>
        <v>5874.9999999999945</v>
      </c>
      <c r="AT12" s="31">
        <v>8999.9999999999927</v>
      </c>
      <c r="AU12" s="31">
        <v>4312.4999999999964</v>
      </c>
      <c r="AV12" s="31">
        <f t="shared" si="5"/>
        <v>4687.4999999999964</v>
      </c>
    </row>
    <row r="13" spans="3:48" x14ac:dyDescent="0.25">
      <c r="L13" s="1"/>
      <c r="M13" s="33"/>
      <c r="N13" s="22" t="s">
        <v>14</v>
      </c>
      <c r="O13" s="34"/>
      <c r="P13" s="29">
        <v>312.5</v>
      </c>
      <c r="Q13" s="5"/>
      <c r="R13" s="32">
        <v>281.25</v>
      </c>
      <c r="S13" s="30"/>
      <c r="T13" s="32">
        <v>343.75</v>
      </c>
      <c r="U13" s="1"/>
      <c r="AM13" s="6">
        <v>6</v>
      </c>
      <c r="AN13" s="3" t="str">
        <f t="shared" si="0"/>
        <v>Drug B costs</v>
      </c>
      <c r="AO13" s="18">
        <f t="shared" si="1"/>
        <v>312.5</v>
      </c>
      <c r="AP13" s="18">
        <v>312.5</v>
      </c>
      <c r="AQ13" s="17">
        <f t="shared" si="2"/>
        <v>281.25</v>
      </c>
      <c r="AR13" s="17">
        <f t="shared" si="3"/>
        <v>343.75</v>
      </c>
      <c r="AS13" s="19">
        <f t="shared" si="4"/>
        <v>5874.9999999999945</v>
      </c>
      <c r="AT13" s="31">
        <v>7437.4999999999936</v>
      </c>
      <c r="AU13" s="31">
        <v>4312.4999999999964</v>
      </c>
      <c r="AV13" s="31">
        <f t="shared" si="5"/>
        <v>3124.9999999999973</v>
      </c>
    </row>
    <row r="14" spans="3:48" x14ac:dyDescent="0.25">
      <c r="L14" s="1"/>
      <c r="M14" s="26"/>
      <c r="N14" s="22" t="s">
        <v>13</v>
      </c>
      <c r="O14" s="34"/>
      <c r="P14" s="29">
        <v>625</v>
      </c>
      <c r="Q14" s="5"/>
      <c r="R14" s="32">
        <v>562.5</v>
      </c>
      <c r="S14" s="30"/>
      <c r="T14" s="32">
        <v>687.5</v>
      </c>
      <c r="U14" s="1"/>
      <c r="AM14" s="6">
        <v>7</v>
      </c>
      <c r="AN14" s="3" t="str">
        <f t="shared" si="0"/>
        <v>Cost of non-response</v>
      </c>
      <c r="AO14" s="18">
        <f t="shared" si="1"/>
        <v>625</v>
      </c>
      <c r="AP14" s="18">
        <v>625</v>
      </c>
      <c r="AQ14" s="17">
        <f t="shared" si="2"/>
        <v>562.5</v>
      </c>
      <c r="AR14" s="17">
        <f t="shared" si="3"/>
        <v>687.5</v>
      </c>
      <c r="AS14" s="19">
        <f t="shared" si="4"/>
        <v>5874.9999999999945</v>
      </c>
      <c r="AT14" s="31">
        <v>6187.4999999999945</v>
      </c>
      <c r="AU14" s="31">
        <v>5562.4999999999955</v>
      </c>
      <c r="AV14" s="31">
        <f t="shared" si="5"/>
        <v>624.99999999999909</v>
      </c>
    </row>
    <row r="15" spans="3:48" x14ac:dyDescent="0.25">
      <c r="L15" s="1"/>
      <c r="M15" s="27"/>
      <c r="N15" s="28" t="s">
        <v>24</v>
      </c>
      <c r="O15" s="35"/>
      <c r="P15" s="29">
        <v>375</v>
      </c>
      <c r="Q15" s="5"/>
      <c r="R15" s="32">
        <v>337.5</v>
      </c>
      <c r="S15" s="30"/>
      <c r="T15" s="32">
        <v>412.5</v>
      </c>
      <c r="U15" s="1"/>
      <c r="AM15" s="6">
        <v>8</v>
      </c>
      <c r="AN15" s="3" t="str">
        <f t="shared" si="0"/>
        <v>Cost of not cured</v>
      </c>
      <c r="AO15" s="18">
        <f t="shared" si="1"/>
        <v>375</v>
      </c>
      <c r="AP15" s="18">
        <v>375</v>
      </c>
      <c r="AQ15" s="17">
        <f t="shared" si="2"/>
        <v>337.5</v>
      </c>
      <c r="AR15" s="17">
        <f t="shared" si="3"/>
        <v>412.5</v>
      </c>
      <c r="AS15" s="19">
        <f t="shared" si="4"/>
        <v>5874.9999999999945</v>
      </c>
      <c r="AT15" s="31">
        <v>5912.5</v>
      </c>
      <c r="AU15" s="31">
        <v>5837.4999999999945</v>
      </c>
      <c r="AV15" s="31">
        <f t="shared" si="5"/>
        <v>75.000000000005457</v>
      </c>
    </row>
    <row r="16" spans="3:48" x14ac:dyDescent="0.25">
      <c r="L16" s="1"/>
      <c r="M16" s="20"/>
      <c r="N16" s="1"/>
      <c r="O16" s="1"/>
      <c r="P16" s="5"/>
      <c r="Q16" s="5"/>
      <c r="R16" s="5"/>
      <c r="S16" s="5"/>
      <c r="T16" s="5"/>
      <c r="U16" s="1"/>
    </row>
    <row r="17" spans="12:21" x14ac:dyDescent="0.25">
      <c r="L17" s="1"/>
      <c r="M17" s="20"/>
      <c r="N17" s="1"/>
      <c r="O17" s="1"/>
      <c r="P17" s="5"/>
      <c r="Q17" s="5"/>
      <c r="R17" s="5"/>
      <c r="S17" s="5"/>
      <c r="T17" s="5"/>
      <c r="U17" s="1"/>
    </row>
    <row r="19" spans="12:21" x14ac:dyDescent="0.25">
      <c r="L19" s="1"/>
      <c r="M19" s="20"/>
      <c r="N19" s="1"/>
      <c r="O19" s="1"/>
      <c r="P19" s="5"/>
      <c r="Q19" s="5"/>
      <c r="R19" s="5"/>
      <c r="S19" s="5"/>
      <c r="T19" s="5"/>
      <c r="U19" s="1"/>
    </row>
    <row r="20" spans="12:21" x14ac:dyDescent="0.25">
      <c r="L20" s="1"/>
      <c r="M20" s="20"/>
      <c r="N20" s="2" t="s">
        <v>22</v>
      </c>
      <c r="O20" s="1"/>
      <c r="P20" s="2" t="s">
        <v>43</v>
      </c>
      <c r="Q20" s="7"/>
      <c r="R20" s="7" t="s">
        <v>23</v>
      </c>
      <c r="S20" s="5"/>
      <c r="T20" s="5"/>
      <c r="U20" s="1"/>
    </row>
    <row r="21" spans="12:21" x14ac:dyDescent="0.25">
      <c r="L21" s="1"/>
      <c r="M21" s="20"/>
      <c r="N21" s="13" t="s">
        <v>9</v>
      </c>
      <c r="O21" s="1"/>
      <c r="P21" s="9">
        <f>P8*P9</f>
        <v>0.70200000000000007</v>
      </c>
      <c r="Q21" s="5"/>
      <c r="R21" s="15">
        <f>P21*P12</f>
        <v>351.00000000000006</v>
      </c>
      <c r="S21" s="5"/>
      <c r="T21" s="5"/>
      <c r="U21" s="1"/>
    </row>
    <row r="22" spans="12:21" x14ac:dyDescent="0.25">
      <c r="L22" s="1"/>
      <c r="M22" s="20"/>
      <c r="N22" s="13" t="s">
        <v>15</v>
      </c>
      <c r="O22" s="1"/>
      <c r="P22" s="9">
        <f>P8*(1-P9)</f>
        <v>0.19799999999999998</v>
      </c>
      <c r="Q22" s="5"/>
      <c r="R22" s="15">
        <f>P22*(P12+P15)</f>
        <v>173.24999999999997</v>
      </c>
      <c r="S22" s="5"/>
      <c r="T22" s="5"/>
      <c r="U22" s="1"/>
    </row>
    <row r="23" spans="12:21" x14ac:dyDescent="0.25">
      <c r="L23" s="1"/>
      <c r="M23" s="20"/>
      <c r="N23" s="13" t="s">
        <v>16</v>
      </c>
      <c r="O23" s="1"/>
      <c r="P23" s="9">
        <f>(1-P8)*P9</f>
        <v>7.7999999999999986E-2</v>
      </c>
      <c r="Q23" s="5"/>
      <c r="R23" s="15">
        <f>P23*(P12+P14)</f>
        <v>87.749999999999986</v>
      </c>
      <c r="S23" s="5"/>
      <c r="T23" s="5"/>
      <c r="U23" s="1"/>
    </row>
    <row r="24" spans="12:21" x14ac:dyDescent="0.25">
      <c r="L24" s="1"/>
      <c r="M24" s="20"/>
      <c r="N24" s="13" t="s">
        <v>17</v>
      </c>
      <c r="O24" s="1"/>
      <c r="P24" s="9">
        <f>(1-P8)*(1-P9)</f>
        <v>2.1999999999999992E-2</v>
      </c>
      <c r="Q24" s="5"/>
      <c r="R24" s="15">
        <f>P24*(P12+P14+P15)</f>
        <v>32.999999999999986</v>
      </c>
      <c r="S24" s="5"/>
      <c r="T24" s="5"/>
      <c r="U24" s="1"/>
    </row>
    <row r="25" spans="12:21" x14ac:dyDescent="0.25">
      <c r="L25" s="1"/>
      <c r="M25" s="20"/>
      <c r="N25" s="13"/>
      <c r="O25" s="1"/>
      <c r="P25" s="5"/>
      <c r="Q25" s="5"/>
      <c r="R25" s="14"/>
      <c r="S25" s="5"/>
      <c r="T25" s="5"/>
      <c r="U25" s="1"/>
    </row>
    <row r="26" spans="12:21" x14ac:dyDescent="0.25">
      <c r="L26" s="1"/>
      <c r="M26" s="20"/>
      <c r="N26" s="13" t="s">
        <v>18</v>
      </c>
      <c r="O26" s="1"/>
      <c r="P26" s="9">
        <f>P10*P11</f>
        <v>0.6080000000000001</v>
      </c>
      <c r="Q26" s="5"/>
      <c r="R26" s="15">
        <f>P26*P13</f>
        <v>190.00000000000003</v>
      </c>
      <c r="S26" s="5"/>
      <c r="T26" s="5"/>
      <c r="U26" s="1"/>
    </row>
    <row r="27" spans="12:21" x14ac:dyDescent="0.25">
      <c r="L27" s="1"/>
      <c r="M27" s="20"/>
      <c r="N27" s="13" t="s">
        <v>19</v>
      </c>
      <c r="O27" s="1"/>
      <c r="P27" s="9">
        <f>P10*(1-P11)</f>
        <v>0.192</v>
      </c>
      <c r="Q27" s="5"/>
      <c r="R27" s="15">
        <f>P27*(P13+P15)</f>
        <v>132</v>
      </c>
      <c r="S27" s="5"/>
      <c r="T27" s="5"/>
      <c r="U27" s="1"/>
    </row>
    <row r="28" spans="12:21" x14ac:dyDescent="0.25">
      <c r="L28" s="1"/>
      <c r="M28" s="20"/>
      <c r="N28" s="13" t="s">
        <v>20</v>
      </c>
      <c r="O28" s="1"/>
      <c r="P28" s="9">
        <f>(1-P10)*P11</f>
        <v>0.15199999999999997</v>
      </c>
      <c r="Q28" s="5"/>
      <c r="R28" s="15">
        <f>P28*(P13+P14)</f>
        <v>142.49999999999997</v>
      </c>
      <c r="S28" s="5"/>
      <c r="T28" s="5"/>
      <c r="U28" s="1"/>
    </row>
    <row r="29" spans="12:21" x14ac:dyDescent="0.25">
      <c r="L29" s="1"/>
      <c r="M29" s="20"/>
      <c r="N29" s="13" t="s">
        <v>21</v>
      </c>
      <c r="O29" s="1"/>
      <c r="P29" s="9">
        <f>(1-P10)*(1-P11)</f>
        <v>4.7999999999999987E-2</v>
      </c>
      <c r="Q29" s="5"/>
      <c r="R29" s="15">
        <f>P29*(P13+P14+P15)</f>
        <v>62.999999999999986</v>
      </c>
      <c r="S29" s="5"/>
      <c r="T29" s="5"/>
      <c r="U29" s="1"/>
    </row>
    <row r="30" spans="12:21" x14ac:dyDescent="0.25">
      <c r="L30" s="1"/>
      <c r="M30" s="20"/>
      <c r="N30" s="1"/>
      <c r="O30" s="1"/>
      <c r="P30" s="5"/>
      <c r="Q30" s="5"/>
      <c r="R30" s="5"/>
      <c r="S30" s="5"/>
      <c r="T30" s="5"/>
      <c r="U30" s="1"/>
    </row>
  </sheetData>
  <sortState xmlns:xlrd2="http://schemas.microsoft.com/office/spreadsheetml/2017/richdata2" ref="AM8:AV15">
    <sortCondition descending="1" ref="AV8:AV15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OWSA 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Bounthavong, Mark (PBM-ADS)</dc:creator>
  <cp:lastModifiedBy>Mark Bounthavong</cp:lastModifiedBy>
  <dcterms:created xsi:type="dcterms:W3CDTF">2024-05-17T17:11:38Z</dcterms:created>
  <dcterms:modified xsi:type="dcterms:W3CDTF">2024-05-18T04:25:30Z</dcterms:modified>
</cp:coreProperties>
</file>